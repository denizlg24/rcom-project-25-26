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eup\3ANO\RCOM\lab1-code-25-26-deniz\lab1-code-25-26\docs\"/>
    </mc:Choice>
  </mc:AlternateContent>
  <xr:revisionPtr revIDLastSave="0" documentId="13_ncr:1_{EE8DCA81-DE08-4A68-9067-A4C5C0E5B863}" xr6:coauthVersionLast="47" xr6:coauthVersionMax="47" xr10:uidLastSave="{00000000-0000-0000-0000-000000000000}"/>
  <bookViews>
    <workbookView xWindow="-120" yWindow="-120" windowWidth="29040" windowHeight="15720" xr2:uid="{EADB7CA2-938E-4F7B-80E6-BB7B094AF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8" i="1"/>
  <c r="K2" i="1"/>
  <c r="F2" i="1"/>
  <c r="F3" i="1"/>
  <c r="F4" i="1"/>
  <c r="F5" i="1"/>
  <c r="F6" i="1"/>
  <c r="F7" i="1"/>
  <c r="F8" i="1"/>
  <c r="F9" i="1"/>
  <c r="F10" i="1"/>
  <c r="K10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2" i="1"/>
  <c r="I2" i="1" s="1"/>
  <c r="G3" i="1"/>
  <c r="G4" i="1"/>
  <c r="G5" i="1"/>
  <c r="G6" i="1"/>
  <c r="G7" i="1"/>
  <c r="G8" i="1"/>
  <c r="G9" i="1"/>
  <c r="G10" i="1"/>
  <c r="G2" i="1"/>
  <c r="A3" i="1"/>
  <c r="A4" i="1"/>
  <c r="A5" i="1"/>
  <c r="A6" i="1"/>
  <c r="A7" i="1"/>
  <c r="A8" i="1"/>
  <c r="A9" i="1"/>
  <c r="A10" i="1"/>
  <c r="A2" i="1"/>
  <c r="K9" i="1" l="1"/>
  <c r="K6" i="1"/>
  <c r="K7" i="1"/>
  <c r="K4" i="1"/>
</calcChain>
</file>

<file path=xl/sharedStrings.xml><?xml version="1.0" encoding="utf-8"?>
<sst xmlns="http://schemas.openxmlformats.org/spreadsheetml/2006/main" count="12" uniqueCount="12">
  <si>
    <t>Baud</t>
  </si>
  <si>
    <t>Frame_size_bits</t>
  </si>
  <si>
    <t>FER</t>
  </si>
  <si>
    <t>Prop_delay_ms</t>
  </si>
  <si>
    <t>BCC1_ERROR_PROB</t>
  </si>
  <si>
    <t>BCC2_ERROR_PROB</t>
  </si>
  <si>
    <t>Filesize</t>
  </si>
  <si>
    <t>Prop ratio (a)</t>
  </si>
  <si>
    <t>Measured Efficiency</t>
  </si>
  <si>
    <t>Measured Throughput</t>
  </si>
  <si>
    <t>Execution Time</t>
  </si>
  <si>
    <t>Theoretical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</si>
</sst>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Baud x 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(Sheet1!$B$2,Sheet1!$B$5,Sheet1!$B$8)</c:f>
              <c:numCache>
                <c:formatCode>General</c:formatCode>
                <c:ptCount val="3"/>
                <c:pt idx="0">
                  <c:v>9600</c:v>
                </c:pt>
                <c:pt idx="1">
                  <c:v>38400</c:v>
                </c:pt>
                <c:pt idx="2">
                  <c:v>115200</c:v>
                </c:pt>
              </c:numCache>
            </c:numRef>
          </c:xVal>
          <c:yVal>
            <c:numRef>
              <c:f>(Sheet1!$I$2,Sheet1!$I$5,Sheet1!$I$8)</c:f>
              <c:numCache>
                <c:formatCode>General</c:formatCode>
                <c:ptCount val="3"/>
                <c:pt idx="0">
                  <c:v>0.77908545936719842</c:v>
                </c:pt>
                <c:pt idx="1">
                  <c:v>0.7786023049354186</c:v>
                </c:pt>
                <c:pt idx="2">
                  <c:v>0.76513809821828305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ED-48B0-B471-76CC88BDF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705167"/>
        <c:axId val="743701327"/>
      </c:scatterChart>
      <c:valAx>
        <c:axId val="74370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01327"/>
        <c:crosses val="autoZero"/>
        <c:crossBetween val="midCat"/>
      </c:valAx>
      <c:valAx>
        <c:axId val="7437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0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FER x 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(Sheet1!$F$2,Sheet1!$F$3,Sheet1!$F$6,Sheet1!$F$9)</c:f>
              <c:numCache>
                <c:formatCode>0.00E+00</c:formatCode>
                <c:ptCount val="4"/>
                <c:pt idx="0">
                  <c:v>0</c:v>
                </c:pt>
                <c:pt idx="1">
                  <c:v>0.14500000000000002</c:v>
                </c:pt>
                <c:pt idx="2">
                  <c:v>0.32500000000000001</c:v>
                </c:pt>
                <c:pt idx="3">
                  <c:v>0.55000000000000004</c:v>
                </c:pt>
              </c:numCache>
            </c:numRef>
          </c:xVal>
          <c:yVal>
            <c:numRef>
              <c:f>(Sheet1!$I$2,Sheet1!$I$3,Sheet1!$I$6,Sheet1!$I$9)</c:f>
              <c:numCache>
                <c:formatCode>General</c:formatCode>
                <c:ptCount val="4"/>
                <c:pt idx="0">
                  <c:v>0.77908545936719842</c:v>
                </c:pt>
                <c:pt idx="1">
                  <c:v>0.71449381982388904</c:v>
                </c:pt>
                <c:pt idx="2">
                  <c:v>0.37722585956731453</c:v>
                </c:pt>
                <c:pt idx="3">
                  <c:v>0.36105431177261033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7C-4C09-BC83-6660DD837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702767"/>
        <c:axId val="743719567"/>
      </c:scatterChart>
      <c:valAx>
        <c:axId val="74370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19567"/>
        <c:crosses val="autoZero"/>
        <c:crossBetween val="midCat"/>
      </c:valAx>
      <c:valAx>
        <c:axId val="74371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0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Prop Ratio (a) x 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(Sheet1!$G$2,Sheet1!$G$4,Sheet1!$G$7,Sheet1!$G$10)</c:f>
              <c:numCache>
                <c:formatCode>General</c:formatCode>
                <c:ptCount val="4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7.4999999999999997E-2</c:v>
                </c:pt>
              </c:numCache>
            </c:numRef>
          </c:xVal>
          <c:yVal>
            <c:numRef>
              <c:f>(Sheet1!$I$2,Sheet1!$I$4,Sheet1!$I$7,Sheet1!$I$10)</c:f>
              <c:numCache>
                <c:formatCode>General</c:formatCode>
                <c:ptCount val="4"/>
                <c:pt idx="0">
                  <c:v>0.77908545936719842</c:v>
                </c:pt>
                <c:pt idx="1">
                  <c:v>0.74618786985895735</c:v>
                </c:pt>
                <c:pt idx="2">
                  <c:v>0.71091575360531123</c:v>
                </c:pt>
                <c:pt idx="3">
                  <c:v>0.62378991410876972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02-47BB-9385-87A1C17B0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62031"/>
        <c:axId val="257961071"/>
      </c:scatterChart>
      <c:valAx>
        <c:axId val="25796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61071"/>
        <c:crosses val="autoZero"/>
        <c:crossBetween val="midCat"/>
      </c:valAx>
      <c:valAx>
        <c:axId val="25796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6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487456</xdr:colOff>
      <xdr:row>21</xdr:row>
      <xdr:rowOff>90768</xdr:rowOff>
    </xdr:from>
    <xdr:to>
      <xdr:col>18</xdr:col>
      <xdr:colOff>1176618</xdr:colOff>
      <xdr:row>38</xdr:row>
      <xdr:rowOff>67236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EF26C4-6F13-FE26-4810-448968AA9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168088</xdr:colOff>
      <xdr:row>21</xdr:row>
      <xdr:rowOff>90767</xdr:rowOff>
    </xdr:from>
    <xdr:to>
      <xdr:col>11</xdr:col>
      <xdr:colOff>425824</xdr:colOff>
      <xdr:row>38</xdr:row>
      <xdr:rowOff>67235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59279E-88A0-6501-2032-8E1AFD25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79561</xdr:rowOff>
    </xdr:from>
    <xdr:to>
      <xdr:col>6</xdr:col>
      <xdr:colOff>235324</xdr:colOff>
      <xdr:row>38</xdr:row>
      <xdr:rowOff>67234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361FB7-F268-4445-B229-2148FC588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28D1-9D93-45DC-A460-DED27A033223}">
  <dimension ref="A1:K13"/>
  <sheetViews>
    <sheetView tabSelected="1" zoomScale="85" zoomScaleNormal="85" workbookViewId="0">
      <selection activeCell="H14" sqref="H14"/>
    </sheetView>
  </sheetViews>
  <sheetFormatPr defaultRowHeight="15" x14ac:dyDescent="0.25"/>
  <cols>
    <col min="1" max="1" width="15.140625" bestFit="1" customWidth="1"/>
    <col min="3" max="3" width="13.85546875" bestFit="1" customWidth="1"/>
    <col min="4" max="4" width="20.28515625" customWidth="1"/>
    <col min="5" max="5" width="18.5703125" bestFit="1" customWidth="1"/>
    <col min="6" max="6" width="15.7109375" customWidth="1"/>
    <col min="7" max="7" width="18.42578125" bestFit="1" customWidth="1"/>
    <col min="8" max="8" width="20.5703125" bestFit="1" customWidth="1"/>
    <col min="9" max="9" width="19.28515625" bestFit="1" customWidth="1"/>
    <col min="10" max="10" width="14.28515625" bestFit="1" customWidth="1"/>
    <col min="11" max="11" width="19.85546875" bestFit="1" customWidth="1"/>
    <col min="12" max="12" width="14.5703125" bestFit="1" customWidth="1"/>
    <col min="13" max="16" width="12" bestFit="1" customWidth="1"/>
    <col min="17" max="17" width="11" bestFit="1" customWidth="1"/>
    <col min="18" max="18" width="12.7109375" bestFit="1" customWidth="1"/>
    <col min="19" max="19" width="22.5703125" bestFit="1" customWidth="1"/>
  </cols>
  <sheetData>
    <row r="1" spans="1:11" x14ac:dyDescent="0.25">
      <c r="A1" t="s">
        <v>1</v>
      </c>
      <c r="B1" t="s">
        <v>0</v>
      </c>
      <c r="C1" t="s">
        <v>3</v>
      </c>
      <c r="D1" t="s">
        <v>4</v>
      </c>
      <c r="E1" t="s">
        <v>5</v>
      </c>
      <c r="F1" t="s">
        <v>2</v>
      </c>
      <c r="G1" t="s">
        <v>7</v>
      </c>
      <c r="H1" t="s">
        <v>9</v>
      </c>
      <c r="I1" t="s">
        <v>8</v>
      </c>
      <c r="J1" t="s">
        <v>10</v>
      </c>
      <c r="K1" t="s">
        <v>11</v>
      </c>
    </row>
    <row r="2" spans="1:11" x14ac:dyDescent="0.25">
      <c r="A2">
        <f>1000*8</f>
        <v>8000</v>
      </c>
      <c r="B2">
        <v>9600</v>
      </c>
      <c r="C2">
        <v>0</v>
      </c>
      <c r="D2">
        <v>0</v>
      </c>
      <c r="E2">
        <v>0</v>
      </c>
      <c r="F2" s="1">
        <f t="shared" ref="F2:F9" si="0">D2+E2*(1-D2)</f>
        <v>0</v>
      </c>
      <c r="G2">
        <f>C2/1000 / ((A2*8)/B2)</f>
        <v>0</v>
      </c>
      <c r="H2">
        <f>$A$13*8/J2</f>
        <v>7479.2204099251048</v>
      </c>
      <c r="I2">
        <f>H2/B2</f>
        <v>0.77908545936719842</v>
      </c>
      <c r="J2">
        <v>11.731704000000001</v>
      </c>
      <c r="K2" s="1">
        <f>(1-F2)/(1+ (2*G2))</f>
        <v>1</v>
      </c>
    </row>
    <row r="3" spans="1:11" x14ac:dyDescent="0.25">
      <c r="A3">
        <f t="shared" ref="A3:A10" si="1">1000*8</f>
        <v>8000</v>
      </c>
      <c r="B3">
        <v>9600</v>
      </c>
      <c r="C3">
        <v>0</v>
      </c>
      <c r="D3" s="1">
        <v>0.05</v>
      </c>
      <c r="E3">
        <v>0.1</v>
      </c>
      <c r="F3" s="1">
        <f t="shared" si="0"/>
        <v>0.14500000000000002</v>
      </c>
      <c r="G3">
        <f t="shared" ref="G3:G10" si="2">C3/1000 / ((A3*8)/B3)</f>
        <v>0</v>
      </c>
      <c r="H3">
        <f t="shared" ref="H3:H10" si="3">$A$13*8/J3</f>
        <v>6859.1406703093344</v>
      </c>
      <c r="I3">
        <f t="shared" ref="I3:I10" si="4">H3/B3</f>
        <v>0.71449381982388904</v>
      </c>
      <c r="J3">
        <v>12.792273</v>
      </c>
      <c r="K3" s="1">
        <f t="shared" ref="K3:K10" si="5">(1-F3)/(1+ (2*G3))</f>
        <v>0.85499999999999998</v>
      </c>
    </row>
    <row r="4" spans="1:11" x14ac:dyDescent="0.25">
      <c r="A4">
        <f t="shared" si="1"/>
        <v>8000</v>
      </c>
      <c r="B4">
        <v>9600</v>
      </c>
      <c r="C4">
        <v>100</v>
      </c>
      <c r="D4" s="1">
        <v>0</v>
      </c>
      <c r="E4">
        <v>0</v>
      </c>
      <c r="F4" s="1">
        <f t="shared" si="0"/>
        <v>0</v>
      </c>
      <c r="G4">
        <f t="shared" si="2"/>
        <v>1.4999999999999999E-2</v>
      </c>
      <c r="H4">
        <f t="shared" si="3"/>
        <v>7163.4035506459904</v>
      </c>
      <c r="I4">
        <f t="shared" si="4"/>
        <v>0.74618786985895735</v>
      </c>
      <c r="J4">
        <v>12.248926000000001</v>
      </c>
      <c r="K4" s="1">
        <f t="shared" si="5"/>
        <v>0.970873786407767</v>
      </c>
    </row>
    <row r="5" spans="1:11" x14ac:dyDescent="0.25">
      <c r="A5">
        <f t="shared" si="1"/>
        <v>8000</v>
      </c>
      <c r="B5">
        <v>38400</v>
      </c>
      <c r="C5">
        <v>0</v>
      </c>
      <c r="D5">
        <v>0</v>
      </c>
      <c r="E5">
        <v>0</v>
      </c>
      <c r="F5" s="1">
        <f t="shared" si="0"/>
        <v>0</v>
      </c>
      <c r="G5">
        <f t="shared" si="2"/>
        <v>0</v>
      </c>
      <c r="H5">
        <f t="shared" si="3"/>
        <v>29898.328509520074</v>
      </c>
      <c r="I5">
        <f t="shared" si="4"/>
        <v>0.7786023049354186</v>
      </c>
      <c r="J5">
        <v>2.9347460000000001</v>
      </c>
      <c r="K5" s="1">
        <f t="shared" si="5"/>
        <v>1</v>
      </c>
    </row>
    <row r="6" spans="1:11" x14ac:dyDescent="0.25">
      <c r="A6">
        <f t="shared" si="1"/>
        <v>8000</v>
      </c>
      <c r="B6" s="2">
        <v>9600</v>
      </c>
      <c r="C6">
        <v>0</v>
      </c>
      <c r="D6" s="1">
        <v>0.1</v>
      </c>
      <c r="E6">
        <v>0.25</v>
      </c>
      <c r="F6" s="1">
        <f t="shared" si="0"/>
        <v>0.32500000000000001</v>
      </c>
      <c r="G6">
        <f t="shared" si="2"/>
        <v>0</v>
      </c>
      <c r="H6">
        <f t="shared" si="3"/>
        <v>3621.3682518462192</v>
      </c>
      <c r="I6">
        <f t="shared" si="4"/>
        <v>0.37722585956731453</v>
      </c>
      <c r="J6">
        <v>24.229516</v>
      </c>
      <c r="K6" s="1">
        <f t="shared" si="5"/>
        <v>0.67500000000000004</v>
      </c>
    </row>
    <row r="7" spans="1:11" x14ac:dyDescent="0.25">
      <c r="A7">
        <f t="shared" si="1"/>
        <v>8000</v>
      </c>
      <c r="B7" s="2">
        <v>9600</v>
      </c>
      <c r="C7">
        <v>200</v>
      </c>
      <c r="D7" s="1">
        <v>0</v>
      </c>
      <c r="E7">
        <v>0</v>
      </c>
      <c r="F7" s="1">
        <f t="shared" si="0"/>
        <v>0</v>
      </c>
      <c r="G7">
        <f t="shared" si="2"/>
        <v>0.03</v>
      </c>
      <c r="H7">
        <f t="shared" si="3"/>
        <v>6824.7912346109879</v>
      </c>
      <c r="I7">
        <f t="shared" si="4"/>
        <v>0.71091575360531123</v>
      </c>
      <c r="J7">
        <v>12.856657</v>
      </c>
      <c r="K7" s="1">
        <f t="shared" si="5"/>
        <v>0.94339622641509424</v>
      </c>
    </row>
    <row r="8" spans="1:11" x14ac:dyDescent="0.25">
      <c r="A8">
        <f t="shared" si="1"/>
        <v>8000</v>
      </c>
      <c r="B8">
        <v>115200</v>
      </c>
      <c r="C8">
        <v>0</v>
      </c>
      <c r="D8" s="1">
        <v>0</v>
      </c>
      <c r="E8">
        <v>0</v>
      </c>
      <c r="F8" s="1">
        <f t="shared" si="0"/>
        <v>0</v>
      </c>
      <c r="G8">
        <f t="shared" si="2"/>
        <v>0</v>
      </c>
      <c r="H8">
        <f t="shared" si="3"/>
        <v>88143.908914746207</v>
      </c>
      <c r="I8">
        <f t="shared" si="4"/>
        <v>0.76513809821828305</v>
      </c>
      <c r="J8">
        <v>0.99546299999999999</v>
      </c>
      <c r="K8" s="1">
        <f t="shared" si="5"/>
        <v>1</v>
      </c>
    </row>
    <row r="9" spans="1:11" x14ac:dyDescent="0.25">
      <c r="A9">
        <f t="shared" si="1"/>
        <v>8000</v>
      </c>
      <c r="B9">
        <v>9600</v>
      </c>
      <c r="C9">
        <v>0</v>
      </c>
      <c r="D9" s="1">
        <v>0.1</v>
      </c>
      <c r="E9">
        <v>0.5</v>
      </c>
      <c r="F9" s="1">
        <f t="shared" si="0"/>
        <v>0.55000000000000004</v>
      </c>
      <c r="G9">
        <f t="shared" si="2"/>
        <v>0</v>
      </c>
      <c r="H9">
        <f t="shared" si="3"/>
        <v>3466.1213930170593</v>
      </c>
      <c r="I9">
        <f t="shared" si="4"/>
        <v>0.36105431177261033</v>
      </c>
      <c r="J9">
        <v>25.314751000000001</v>
      </c>
      <c r="K9" s="1">
        <f t="shared" si="5"/>
        <v>0.44999999999999996</v>
      </c>
    </row>
    <row r="10" spans="1:11" x14ac:dyDescent="0.25">
      <c r="A10">
        <f t="shared" si="1"/>
        <v>8000</v>
      </c>
      <c r="B10">
        <v>9600</v>
      </c>
      <c r="C10">
        <v>500</v>
      </c>
      <c r="D10" s="1">
        <v>0</v>
      </c>
      <c r="E10">
        <v>0</v>
      </c>
      <c r="F10" s="1">
        <f>D10+E10*(1-D10)</f>
        <v>0</v>
      </c>
      <c r="G10">
        <f t="shared" si="2"/>
        <v>7.4999999999999997E-2</v>
      </c>
      <c r="H10">
        <f t="shared" si="3"/>
        <v>5988.383175444189</v>
      </c>
      <c r="I10">
        <f t="shared" si="4"/>
        <v>0.62378991410876972</v>
      </c>
      <c r="J10">
        <v>14.652369</v>
      </c>
      <c r="K10" s="1">
        <f t="shared" si="5"/>
        <v>0.86956521739130443</v>
      </c>
    </row>
    <row r="12" spans="1:11" x14ac:dyDescent="0.25">
      <c r="A12" t="s">
        <v>6</v>
      </c>
    </row>
    <row r="13" spans="1:11" x14ac:dyDescent="0.25">
      <c r="A13">
        <v>10968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Lopes Günes</dc:creator>
  <cp:lastModifiedBy>Deniz Lopes Günes</cp:lastModifiedBy>
  <dcterms:created xsi:type="dcterms:W3CDTF">2025-10-29T16:30:32Z</dcterms:created>
  <dcterms:modified xsi:type="dcterms:W3CDTF">2025-11-05T20:33:35Z</dcterms:modified>
</cp:coreProperties>
</file>